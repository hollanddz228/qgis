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Бастапқы деректер" sheetId="1" r:id="rId1"/>
    <sheet name="Статистика" sheetId="2" r:id="rId2"/>
    <sheet name="Қашықтықтар" sheetId="3" r:id="rId3"/>
    <sheet name="Матрица" sheetId="4" r:id="rId4"/>
  </sheets>
  <definedNames>
    <definedName name="_xlnm.Print_Area" localSheetId="0">'Бастапқы деректер'!$A$1:$P$25</definedName>
    <definedName name="_xlnm.Print_Area" localSheetId="3">Матрица!$A$1:$G$19</definedName>
    <definedName name="_xlnm.Print_Area" localSheetId="1">Статистика!$A$1:$D$34</definedName>
    <definedName name="_xlnm.Print_Area" localSheetId="2">Қашықтықтар!$A$1:$I$26</definedName>
    <definedName name="_xlnm.Print_Titles" localSheetId="0">'Бастапқы деректер'!$1:$3</definedName>
    <definedName name="_xlnm.Print_Titles" localSheetId="3">Матрица!$1:$3</definedName>
    <definedName name="_xlnm.Print_Titles" localSheetId="1">Статистика!$1:$3</definedName>
    <definedName name="_xlnm.Print_Titles" localSheetId="2">Қашықтықтар!$1:$3</definedName>
  </definedNames>
  <calcPr calcId="124519" fullCalcOnLoad="1"/>
</workbook>
</file>

<file path=xl/sharedStrings.xml><?xml version="1.0" encoding="utf-8"?>
<sst xmlns="http://schemas.openxmlformats.org/spreadsheetml/2006/main" count="87" uniqueCount="74">
  <si>
    <t>№7 нұсқа. Жол-көлік оқиғалары болған қиылыстарды талдау</t>
  </si>
  <si>
    <t>Қиылыс</t>
  </si>
  <si>
    <t>X, м</t>
  </si>
  <si>
    <t>Y, м</t>
  </si>
  <si>
    <t>Жылдық ЖКО саны</t>
  </si>
  <si>
    <t>A</t>
  </si>
  <si>
    <t>B</t>
  </si>
  <si>
    <t>C</t>
  </si>
  <si>
    <t>D</t>
  </si>
  <si>
    <t>E</t>
  </si>
  <si>
    <t>F</t>
  </si>
  <si>
    <t>Координаталар — шартты жергілікті жүйе, метр.
Диаграммада бір жылдағы ЖКО саны көрсетілген. Нақты қала немесе жол желісі берілмеген.</t>
  </si>
  <si>
    <t>№7 нұсқа. Негізгі статистикалық есептеулер</t>
  </si>
  <si>
    <t>Көрсеткіш</t>
  </si>
  <si>
    <t>Формула нәтижесі</t>
  </si>
  <si>
    <t>Өлшем</t>
  </si>
  <si>
    <t>Түсіндірме</t>
  </si>
  <si>
    <t>Count — бақылаулар саны</t>
  </si>
  <si>
    <t>қиылыс</t>
  </si>
  <si>
    <t>Сандық мәндер саны.</t>
  </si>
  <si>
    <t>Sum — қосынды</t>
  </si>
  <si>
    <t>ЖКО</t>
  </si>
  <si>
    <t>Алты қиылыстағы жылдық ЖКО жиыны.</t>
  </si>
  <si>
    <t>Mean — арифметикалық орташа</t>
  </si>
  <si>
    <t>46 / 6 = 7,6667.</t>
  </si>
  <si>
    <t>Median — медиана</t>
  </si>
  <si>
    <t>Реттелген қатардың ортасы: (5 + 7) / 2.</t>
  </si>
  <si>
    <t>Minimum — ең кіші мән</t>
  </si>
  <si>
    <t>A қиылысы.</t>
  </si>
  <si>
    <t>Maximum — ең үлкен мән</t>
  </si>
  <si>
    <t>F қиылысы.</t>
  </si>
  <si>
    <t>Range — құлаш</t>
  </si>
  <si>
    <t>18 − 3.</t>
  </si>
  <si>
    <t>Missing Values — жетіспейтін мәндер</t>
  </si>
  <si>
    <t>мән</t>
  </si>
  <si>
    <t>Берілген аралықта бос ұяшық жоқ.</t>
  </si>
  <si>
    <t>Бас жиынтық дисперсиясы, σ²</t>
  </si>
  <si>
    <t>ЖКО²</t>
  </si>
  <si>
    <t>Бөлгіш N = 6; іріктемелік N − 1 емес.</t>
  </si>
  <si>
    <t>Бас жиынтықтың стандарттық ауытқуы, σ</t>
  </si>
  <si>
    <t>STDEVP — бас жиынтық үшін STDEV.P баламасы.</t>
  </si>
  <si>
    <t>Q1 — бірінші квартиль</t>
  </si>
  <si>
    <t>Төменгі жартының медианасы: MEDIAN(3,4,5).</t>
  </si>
  <si>
    <t>Q3 — үшінші квартиль</t>
  </si>
  <si>
    <t>Жоғарғы жартының медианасы: MEDIAN(7,9,18).</t>
  </si>
  <si>
    <t>IQR — квартильаралық ауқым</t>
  </si>
  <si>
    <t>Q3 − Q1; Tukey hinges әдісі.</t>
  </si>
  <si>
    <t>Квартильдер есеп пен QGIS-тегідей төменгі/жоғарғы үш мәннің медианасы арқылы есептелді. QUARTILE.INC басқа интерполяция қолданатындықтан, бұл жұмыста ол қолданылмайды.</t>
  </si>
  <si>
    <t>Стандарттық ауытқуды қолмен тексеру</t>
  </si>
  <si>
    <t>xᵢ</t>
  </si>
  <si>
    <t>xᵢ − μ</t>
  </si>
  <si>
    <t>(xᵢ − μ)²</t>
  </si>
  <si>
    <t>Қосынды</t>
  </si>
  <si>
    <t>σ = √[Σ(xᵢ − μ)² / N]</t>
  </si>
  <si>
    <t>Кестелердегі есептік мәндер бастапқы деректер өзгерсе формулалар арқылы қайта есептеледі.</t>
  </si>
  <si>
    <t>№7 нұсқа. Барлық 15 жұптың Евклидтік қашықтығы</t>
  </si>
  <si>
    <t>Жұп</t>
  </si>
  <si>
    <t>X₁, м</t>
  </si>
  <si>
    <t>Y₁, м</t>
  </si>
  <si>
    <t>X₂, м</t>
  </si>
  <si>
    <t>Y₂, м</t>
  </si>
  <si>
    <t>ΔX, м</t>
  </si>
  <si>
    <t>ΔY, м</t>
  </si>
  <si>
    <t>Қашықтық, м</t>
  </si>
  <si>
    <t>Реті</t>
  </si>
  <si>
    <t>Қорытынды</t>
  </si>
  <si>
    <t>Ең жақын жұп</t>
  </si>
  <si>
    <t>Ең алыс жұп</t>
  </si>
  <si>
    <t>d = √[(X₂ − X₁)² + (Y₂ − Y₁)²]. Барлық мән метрмен берілген. Бұл — түзу сызықтық қашықтық; нақты жолмен жүру аралығы емес.</t>
  </si>
  <si>
    <t>№7 нұсқа. Қиылыстар арақашықтығының матрицасы, м</t>
  </si>
  <si>
    <t>Ең кіші &gt; 0</t>
  </si>
  <si>
    <t>Ең үлкен</t>
  </si>
  <si>
    <t>Матрица симметриялы: d(A,B) = d(B,A). Диагональдағы нөлдер бір нүктеден өзіне дейінгі қашықтықты көрсетеді; ең жақын жұпты іздегенде олар алынбайды.</t>
  </si>
  <si>
    <t>Негізгі нәтиже: ең жақын A–B = 300 м; ең алыс A–F = 1063,015 м. Барлық есептер бастапқы деректер парағындағы координаталарға байланыстырылған.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</si>
</sst>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1"/>
      <color rgb="FFFFFFFF"/>
      <name val="Calibri"/>
      <family val="2"/>
      <scheme val="minor"/>
    </font>
    <font>
      <sz val="10"/>
      <color rgb="FF35576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3">
    <dxf>
      <font>
        <b/>
        <color rgb="FF145A32"/>
      </font>
      <fill>
        <patternFill>
          <bgColor rgb="FFD9EAD3"/>
        </patternFill>
      </fill>
    </dxf>
    <dxf>
      <font>
        <b/>
        <color rgb="FF674191"/>
      </font>
      <fill>
        <patternFill>
          <bgColor rgb="FFE8DFF1"/>
        </patternFill>
      </fill>
    </dxf>
    <dxf>
      <font>
        <color rgb="FF777777"/>
      </font>
      <fill>
        <patternFill>
          <bgColor rgb="FFF0F0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Calibri"/>
              </a:defRPr>
            </a:pPr>
            <a:r>
              <a:rPr lang="en-US" sz="1400" b="1" baseline="0">
                <a:latin typeface="Calibri"/>
              </a:rPr>
              <a:t>Қиылыстардағы ЖКО саны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Жылдық ЖКО саны</c:v>
          </c:tx>
          <c:spPr>
            <a:solidFill>
              <a:srgbClr val="4F81BD"/>
            </a:solidFill>
            <a:ln>
              <a:noFill/>
            </a:ln>
          </c:spPr>
          <c:cat>
            <c:strRef>
              <c:f>'Бастапқы деректер'!$A$4:$A$9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'Бастапқы деректер'!$D$4:$D$9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18</c:v>
                </c:pt>
              </c:numCache>
            </c:numRef>
          </c:val>
        </c:ser>
        <c:gapWidth val="11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666666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0"/>
          <c:min val="0"/>
        </c:scaling>
        <c:axPos val="l"/>
        <c:majorGridlines>
          <c:spPr>
            <a:ln w="9525">
              <a:solidFill>
                <a:srgbClr val="D0D0D0"/>
              </a:solidFill>
            </a:ln>
          </c:spPr>
        </c:majorGridlines>
        <c:numFmt formatCode="0" sourceLinked="0"/>
        <c:tickLblPos val="nextTo"/>
        <c:spPr>
          <a:ln>
            <a:solidFill>
              <a:srgbClr val="666666"/>
            </a:solidFill>
          </a:ln>
        </c:spPr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  <c:majorUnit val="5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 w="9525">
      <a:solidFill>
        <a:srgbClr val="A0A0A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0</xdr:rowOff>
    </xdr:from>
    <xdr:to>
      <xdr:col>14</xdr:col>
      <xdr:colOff>476250</xdr:colOff>
      <xdr:row>15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6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4" sqref="D4"/>
    </sheetView>
  </sheetViews>
  <sheetFormatPr defaultRowHeight="21" customHeight="1"/>
  <cols>
    <col min="1" max="3" width="10.7109375" customWidth="1"/>
    <col min="4" max="4" width="22.7109375" customWidth="1"/>
    <col min="5" max="5" width="3.7109375" customWidth="1"/>
    <col min="6" max="16" width="10.7109375" customWidth="1"/>
  </cols>
  <sheetData>
    <row r="1" spans="1:16" ht="2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ht="31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16" ht="21" customHeight="1">
      <c r="A4" s="3" t="s">
        <v>5</v>
      </c>
      <c r="B4" s="3">
        <v>100</v>
      </c>
      <c r="C4" s="3">
        <v>100</v>
      </c>
      <c r="D4" s="3">
        <v>3</v>
      </c>
    </row>
    <row r="5" spans="1:16" ht="21" customHeight="1">
      <c r="A5" s="3" t="s">
        <v>6</v>
      </c>
      <c r="B5" s="3">
        <v>400</v>
      </c>
      <c r="C5" s="3">
        <v>100</v>
      </c>
      <c r="D5" s="3">
        <v>4</v>
      </c>
    </row>
    <row r="6" spans="1:16" ht="21" customHeight="1">
      <c r="A6" s="3" t="s">
        <v>7</v>
      </c>
      <c r="B6" s="3">
        <v>100</v>
      </c>
      <c r="C6" s="3">
        <v>500</v>
      </c>
      <c r="D6" s="3">
        <v>5</v>
      </c>
    </row>
    <row r="7" spans="1:16" ht="21" customHeight="1">
      <c r="A7" s="3" t="s">
        <v>8</v>
      </c>
      <c r="B7" s="3">
        <v>500</v>
      </c>
      <c r="C7" s="3">
        <v>500</v>
      </c>
      <c r="D7" s="3">
        <v>7</v>
      </c>
    </row>
    <row r="8" spans="1:16" ht="21" customHeight="1">
      <c r="A8" s="3" t="s">
        <v>9</v>
      </c>
      <c r="B8" s="3">
        <v>800</v>
      </c>
      <c r="C8" s="3">
        <v>300</v>
      </c>
      <c r="D8" s="3">
        <v>9</v>
      </c>
    </row>
    <row r="9" spans="1:16" ht="21" customHeight="1">
      <c r="A9" s="3" t="s">
        <v>10</v>
      </c>
      <c r="B9" s="3">
        <v>900</v>
      </c>
      <c r="C9" s="3">
        <v>800</v>
      </c>
      <c r="D9" s="3">
        <v>18</v>
      </c>
    </row>
    <row r="12" spans="1:16" ht="21" customHeight="1">
      <c r="A12" s="4" t="s">
        <v>11</v>
      </c>
      <c r="B12" s="4"/>
      <c r="C12" s="4"/>
      <c r="D12" s="4"/>
    </row>
    <row r="13" spans="1:16" ht="21" customHeight="1">
      <c r="A13" s="4"/>
      <c r="B13" s="4"/>
      <c r="C13" s="4"/>
      <c r="D13" s="4"/>
    </row>
    <row r="14" spans="1:16" ht="21" customHeight="1">
      <c r="A14" s="4"/>
      <c r="B14" s="4"/>
      <c r="C14" s="4"/>
      <c r="D14" s="4"/>
    </row>
    <row r="15" spans="1:16" ht="21" customHeight="1">
      <c r="A15" s="4"/>
      <c r="B15" s="4"/>
      <c r="C15" s="4"/>
      <c r="D15" s="4"/>
    </row>
    <row r="16" spans="1:16" ht="21" customHeight="1">
      <c r="A16" s="4"/>
      <c r="B16" s="4"/>
      <c r="C16" s="4"/>
      <c r="D16" s="4"/>
    </row>
  </sheetData>
  <mergeCells count="2">
    <mergeCell ref="A1:P1"/>
    <mergeCell ref="A12:D16"/>
  </mergeCells>
  <printOptions headings="1" gridLines="1"/>
  <pageMargins left="0.3" right="0.3" top="0.4" bottom="0.4" header="0.3" footer="0.2"/>
  <pageSetup paperSize="9" orientation="landscape"/>
  <headerFooter>
    <oddFooter>&amp;C№7 нұсқа  • 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1" width="47.7109375" customWidth="1"/>
    <col min="2" max="2" width="22.7109375" customWidth="1"/>
    <col min="3" max="3" width="16.7109375" customWidth="1"/>
    <col min="4" max="4" width="64.7109375" customWidth="1"/>
  </cols>
  <sheetData>
    <row r="1" spans="1:4" ht="29" customHeight="1">
      <c r="A1" s="1" t="s">
        <v>12</v>
      </c>
      <c r="B1" s="1"/>
      <c r="C1" s="1"/>
      <c r="D1" s="1"/>
    </row>
    <row r="3" spans="1:4" ht="31" customHeight="1">
      <c r="A3" s="2" t="s">
        <v>13</v>
      </c>
      <c r="B3" s="2" t="s">
        <v>14</v>
      </c>
      <c r="C3" s="2" t="s">
        <v>15</v>
      </c>
      <c r="D3" s="2" t="s">
        <v>16</v>
      </c>
    </row>
    <row r="4" spans="1:4" ht="30" customHeight="1">
      <c r="A4" s="5" t="s">
        <v>17</v>
      </c>
      <c r="B4" s="6">
        <f>COUNT('Бастапқы деректер'!$D$4:$D$9)</f>
        <v>6</v>
      </c>
      <c r="C4" s="3" t="s">
        <v>18</v>
      </c>
      <c r="D4" s="5" t="s">
        <v>19</v>
      </c>
    </row>
    <row r="5" spans="1:4" ht="30" customHeight="1">
      <c r="A5" s="5" t="s">
        <v>20</v>
      </c>
      <c r="B5" s="6">
        <f>SUM('Бастапқы деректер'!$D$4:$D$9)</f>
        <v>46</v>
      </c>
      <c r="C5" s="3" t="s">
        <v>21</v>
      </c>
      <c r="D5" s="5" t="s">
        <v>22</v>
      </c>
    </row>
    <row r="6" spans="1:4" ht="30" customHeight="1">
      <c r="A6" s="5" t="s">
        <v>23</v>
      </c>
      <c r="B6" s="6">
        <f>AVERAGE('Бастапқы деректер'!$D$4:$D$9)</f>
        <v>7.666666666666667</v>
      </c>
      <c r="C6" s="3" t="s">
        <v>21</v>
      </c>
      <c r="D6" s="5" t="s">
        <v>24</v>
      </c>
    </row>
    <row r="7" spans="1:4" ht="30" customHeight="1">
      <c r="A7" s="5" t="s">
        <v>25</v>
      </c>
      <c r="B7" s="6">
        <f>MEDIAN('Бастапқы деректер'!$D$4:$D$9)</f>
        <v>6</v>
      </c>
      <c r="C7" s="3" t="s">
        <v>21</v>
      </c>
      <c r="D7" s="5" t="s">
        <v>26</v>
      </c>
    </row>
    <row r="8" spans="1:4" ht="30" customHeight="1">
      <c r="A8" s="5" t="s">
        <v>27</v>
      </c>
      <c r="B8" s="6">
        <f>MIN('Бастапқы деректер'!$D$4:$D$9)</f>
        <v>3</v>
      </c>
      <c r="C8" s="3" t="s">
        <v>21</v>
      </c>
      <c r="D8" s="5" t="s">
        <v>28</v>
      </c>
    </row>
    <row r="9" spans="1:4" ht="30" customHeight="1">
      <c r="A9" s="5" t="s">
        <v>29</v>
      </c>
      <c r="B9" s="6">
        <f>MAX('Бастапқы деректер'!$D$4:$D$9)</f>
        <v>18</v>
      </c>
      <c r="C9" s="3" t="s">
        <v>21</v>
      </c>
      <c r="D9" s="5" t="s">
        <v>30</v>
      </c>
    </row>
    <row r="10" spans="1:4" ht="30" customHeight="1">
      <c r="A10" s="5" t="s">
        <v>31</v>
      </c>
      <c r="B10" s="6">
        <f>B9-B8</f>
        <v>15</v>
      </c>
      <c r="C10" s="3" t="s">
        <v>21</v>
      </c>
      <c r="D10" s="5" t="s">
        <v>32</v>
      </c>
    </row>
    <row r="11" spans="1:4" ht="30" customHeight="1">
      <c r="A11" s="5" t="s">
        <v>33</v>
      </c>
      <c r="B11" s="6">
        <f>COUNTBLANK('Бастапқы деректер'!$D$4:$D$9)</f>
        <v>0</v>
      </c>
      <c r="C11" s="3" t="s">
        <v>34</v>
      </c>
      <c r="D11" s="5" t="s">
        <v>35</v>
      </c>
    </row>
    <row r="12" spans="1:4" ht="30" customHeight="1">
      <c r="A12" s="5" t="s">
        <v>36</v>
      </c>
      <c r="B12" s="6">
        <f>VARP('Бастапқы деректер'!$D$4:$D$9)</f>
        <v>25.22222222222222</v>
      </c>
      <c r="C12" s="3" t="s">
        <v>37</v>
      </c>
      <c r="D12" s="5" t="s">
        <v>38</v>
      </c>
    </row>
    <row r="13" spans="1:4" ht="30" customHeight="1">
      <c r="A13" s="5" t="s">
        <v>39</v>
      </c>
      <c r="B13" s="6">
        <f>STDEVP('Бастапқы деректер'!$D$4:$D$9)</f>
        <v>5.022173057773121</v>
      </c>
      <c r="C13" s="3" t="s">
        <v>21</v>
      </c>
      <c r="D13" s="5" t="s">
        <v>40</v>
      </c>
    </row>
    <row r="14" spans="1:4" ht="30" customHeight="1">
      <c r="A14" s="5" t="s">
        <v>41</v>
      </c>
      <c r="B14" s="6">
        <f>MEDIAN(SMALL('Бастапқы деректер'!$D$4:$D$9,1),SMALL('Бастапқы деректер'!$D$4:$D$9,2),SMALL('Бастапқы деректер'!$D$4:$D$9,3))</f>
        <v>4</v>
      </c>
      <c r="C14" s="3" t="s">
        <v>21</v>
      </c>
      <c r="D14" s="5" t="s">
        <v>42</v>
      </c>
    </row>
    <row r="15" spans="1:4" ht="30" customHeight="1">
      <c r="A15" s="5" t="s">
        <v>43</v>
      </c>
      <c r="B15" s="6">
        <f>MEDIAN(SMALL('Бастапқы деректер'!$D$4:$D$9,4),SMALL('Бастапқы деректер'!$D$4:$D$9,5),SMALL('Бастапқы деректер'!$D$4:$D$9,6))</f>
        <v>9</v>
      </c>
      <c r="C15" s="3" t="s">
        <v>21</v>
      </c>
      <c r="D15" s="5" t="s">
        <v>44</v>
      </c>
    </row>
    <row r="16" spans="1:4" ht="30" customHeight="1">
      <c r="A16" s="5" t="s">
        <v>45</v>
      </c>
      <c r="B16" s="6">
        <f>B15-B14</f>
        <v>5</v>
      </c>
      <c r="C16" s="3" t="s">
        <v>21</v>
      </c>
      <c r="D16" s="5" t="s">
        <v>46</v>
      </c>
    </row>
    <row r="19" spans="1:4" ht="21" customHeight="1">
      <c r="A19" s="4" t="s">
        <v>47</v>
      </c>
      <c r="B19" s="4"/>
      <c r="C19" s="4"/>
      <c r="D19" s="4"/>
    </row>
    <row r="20" spans="1:4" ht="21" customHeight="1">
      <c r="A20" s="4"/>
      <c r="B20" s="4"/>
      <c r="C20" s="4"/>
      <c r="D20" s="4"/>
    </row>
    <row r="22" spans="1:4" ht="21" customHeight="1">
      <c r="A22" s="2" t="s">
        <v>48</v>
      </c>
      <c r="B22" s="2"/>
      <c r="C22" s="2"/>
      <c r="D22" s="2"/>
    </row>
    <row r="23" spans="1:4" ht="30" customHeight="1">
      <c r="A23" s="2" t="s">
        <v>1</v>
      </c>
      <c r="B23" s="2" t="s">
        <v>49</v>
      </c>
      <c r="C23" s="2" t="s">
        <v>50</v>
      </c>
      <c r="D23" s="2" t="s">
        <v>51</v>
      </c>
    </row>
    <row r="24" spans="1:4" ht="21" customHeight="1">
      <c r="A24" s="3" t="str">
        <f>'Бастапқы деректер'!A4</f>
        <v>A</v>
      </c>
      <c r="B24" s="7">
        <f>'Бастапқы деректер'!D4</f>
        <v>3</v>
      </c>
      <c r="C24" s="6">
        <f>B24-$B$6</f>
        <v>-4.666666666666667</v>
      </c>
      <c r="D24" s="6">
        <f>C24^2</f>
        <v>21.777777777777782</v>
      </c>
    </row>
    <row r="25" spans="1:4" ht="21" customHeight="1">
      <c r="A25" s="3" t="str">
        <f>'Бастапқы деректер'!A5</f>
        <v>B</v>
      </c>
      <c r="B25" s="7">
        <f>'Бастапқы деректер'!D5</f>
        <v>4</v>
      </c>
      <c r="C25" s="6">
        <f>B25-$B$6</f>
        <v>-3.666666666666667</v>
      </c>
      <c r="D25" s="6">
        <f>C25^2</f>
        <v>13.444444444444446</v>
      </c>
    </row>
    <row r="26" spans="1:4" ht="21" customHeight="1">
      <c r="A26" s="3" t="str">
        <f>'Бастапқы деректер'!A6</f>
        <v>C</v>
      </c>
      <c r="B26" s="7">
        <f>'Бастапқы деректер'!D6</f>
        <v>5</v>
      </c>
      <c r="C26" s="6">
        <f>B26-$B$6</f>
        <v>-2.666666666666667</v>
      </c>
      <c r="D26" s="6">
        <f>C26^2</f>
        <v>7.1111111111111125</v>
      </c>
    </row>
    <row r="27" spans="1:4" ht="21" customHeight="1">
      <c r="A27" s="3" t="str">
        <f>'Бастапқы деректер'!A7</f>
        <v>D</v>
      </c>
      <c r="B27" s="7">
        <f>'Бастапқы деректер'!D7</f>
        <v>7</v>
      </c>
      <c r="C27" s="6">
        <f>B27-$B$6</f>
        <v>-0.666666666666667</v>
      </c>
      <c r="D27" s="6">
        <f>C27^2</f>
        <v>0.44444444444444486</v>
      </c>
    </row>
    <row r="28" spans="1:4" ht="21" customHeight="1">
      <c r="A28" s="3" t="str">
        <f>'Бастапқы деректер'!A8</f>
        <v>E</v>
      </c>
      <c r="B28" s="7">
        <f>'Бастапқы деректер'!D8</f>
        <v>9</v>
      </c>
      <c r="C28" s="6">
        <f>B28-$B$6</f>
        <v>1.333333333333333</v>
      </c>
      <c r="D28" s="6">
        <f>C28^2</f>
        <v>1.777777777777777</v>
      </c>
    </row>
    <row r="29" spans="1:4" ht="21" customHeight="1">
      <c r="A29" s="3" t="str">
        <f>'Бастапқы деректер'!A9</f>
        <v>F</v>
      </c>
      <c r="B29" s="7">
        <f>'Бастапқы деректер'!D9</f>
        <v>18</v>
      </c>
      <c r="C29" s="6">
        <f>B29-$B$6</f>
        <v>10.333333333333332</v>
      </c>
      <c r="D29" s="6">
        <f>C29^2</f>
        <v>106.77777777777776</v>
      </c>
    </row>
    <row r="30" spans="1:4" ht="21" customHeight="1">
      <c r="A30" s="2" t="s">
        <v>52</v>
      </c>
      <c r="B30" s="7">
        <f>SUM(B24:B29)</f>
        <v>46</v>
      </c>
      <c r="C30" s="6">
        <f>SUM(C24:C29)</f>
        <v>0</v>
      </c>
      <c r="D30" s="6">
        <f>SUM(D24:D29)</f>
        <v>151.33333333333331</v>
      </c>
    </row>
    <row r="32" spans="1:4" ht="21" customHeight="1">
      <c r="A32" s="5" t="s">
        <v>53</v>
      </c>
      <c r="B32" s="5"/>
      <c r="C32" s="5"/>
      <c r="D32" s="6">
        <f>SQRT(D30/B4)</f>
        <v>5.022173057773121</v>
      </c>
    </row>
    <row r="34" spans="1:4" ht="21" customHeight="1">
      <c r="A34" s="4" t="s">
        <v>54</v>
      </c>
      <c r="B34" s="4"/>
      <c r="C34" s="4"/>
      <c r="D34" s="4"/>
    </row>
  </sheetData>
  <mergeCells count="5">
    <mergeCell ref="A1:D1"/>
    <mergeCell ref="A19:D20"/>
    <mergeCell ref="A22:D22"/>
    <mergeCell ref="A32:C32"/>
    <mergeCell ref="A34:D34"/>
  </mergeCells>
  <pageMargins left="0.3" right="0.3" top="0.4" bottom="0.4" header="0.3" footer="0.2"/>
  <pageSetup paperSize="9" orientation="portrait"/>
  <headerFooter>
    <oddFooter>&amp;C№7 нұсқа  • 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6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7" width="12.7109375" customWidth="1"/>
    <col min="8" max="8" width="21.7109375" customWidth="1"/>
    <col min="9" max="9" width="12.7109375" customWidth="1"/>
  </cols>
  <sheetData>
    <row r="1" spans="1:9" ht="29" customHeight="1">
      <c r="A1" s="1" t="s">
        <v>55</v>
      </c>
      <c r="B1" s="1"/>
      <c r="C1" s="1"/>
      <c r="D1" s="1"/>
      <c r="E1" s="1"/>
      <c r="F1" s="1"/>
      <c r="G1" s="1"/>
      <c r="H1" s="1"/>
      <c r="I1" s="1"/>
    </row>
    <row r="3" spans="1:9" ht="31" customHeight="1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</row>
    <row r="4" spans="1:9" ht="21" customHeight="1">
      <c r="A4" s="3" t="str">
        <f>'Бастапқы деректер'!A4&amp;"–"&amp;'Бастапқы деректер'!A5</f>
        <v>A–B</v>
      </c>
      <c r="B4" s="7">
        <f>'Бастапқы деректер'!B4</f>
        <v>100</v>
      </c>
      <c r="C4" s="7">
        <f>'Бастапқы деректер'!C4</f>
        <v>100</v>
      </c>
      <c r="D4" s="7">
        <f>'Бастапқы деректер'!B5</f>
        <v>400</v>
      </c>
      <c r="E4" s="7">
        <f>'Бастапқы деректер'!C5</f>
        <v>100</v>
      </c>
      <c r="F4" s="7">
        <f>D4-B4</f>
        <v>300</v>
      </c>
      <c r="G4" s="7">
        <f>E4-C4</f>
        <v>0</v>
      </c>
      <c r="H4" s="8">
        <f>SQRT(F4^2+G4^2)</f>
        <v>300.0</v>
      </c>
      <c r="I4" s="7">
        <f>RANK(H4,$H$4:$H$18,1)</f>
        <v>1</v>
      </c>
    </row>
    <row r="5" spans="1:9" ht="21" customHeight="1">
      <c r="A5" s="3" t="str">
        <f>'Бастапқы деректер'!A4&amp;"–"&amp;'Бастапқы деректер'!A6</f>
        <v>A–C</v>
      </c>
      <c r="B5" s="7">
        <f>'Бастапқы деректер'!B4</f>
        <v>100</v>
      </c>
      <c r="C5" s="7">
        <f>'Бастапқы деректер'!C4</f>
        <v>100</v>
      </c>
      <c r="D5" s="7">
        <f>'Бастапқы деректер'!B6</f>
        <v>100</v>
      </c>
      <c r="E5" s="7">
        <f>'Бастапқы деректер'!C6</f>
        <v>500</v>
      </c>
      <c r="F5" s="7">
        <f>D5-B5</f>
        <v>0</v>
      </c>
      <c r="G5" s="7">
        <f>E5-C5</f>
        <v>400</v>
      </c>
      <c r="H5" s="8">
        <f>SQRT(F5^2+G5^2)</f>
        <v>400.0</v>
      </c>
      <c r="I5" s="7">
        <f>RANK(H5,$H$4:$H$18,1)</f>
        <v>3</v>
      </c>
    </row>
    <row r="6" spans="1:9" ht="21" customHeight="1">
      <c r="A6" s="3" t="str">
        <f>'Бастапқы деректер'!A4&amp;"–"&amp;'Бастапқы деректер'!A7</f>
        <v>A–D</v>
      </c>
      <c r="B6" s="7">
        <f>'Бастапқы деректер'!B4</f>
        <v>100</v>
      </c>
      <c r="C6" s="7">
        <f>'Бастапқы деректер'!C4</f>
        <v>100</v>
      </c>
      <c r="D6" s="7">
        <f>'Бастапқы деректер'!B7</f>
        <v>500</v>
      </c>
      <c r="E6" s="7">
        <f>'Бастапқы деректер'!C7</f>
        <v>500</v>
      </c>
      <c r="F6" s="7">
        <f>D6-B6</f>
        <v>400</v>
      </c>
      <c r="G6" s="7">
        <f>E6-C6</f>
        <v>400</v>
      </c>
      <c r="H6" s="8">
        <f>SQRT(F6^2+G6^2)</f>
        <v>565.685424949238</v>
      </c>
      <c r="I6" s="7">
        <f>RANK(H6,$H$4:$H$18,1)</f>
        <v>10</v>
      </c>
    </row>
    <row r="7" spans="1:9" ht="21" customHeight="1">
      <c r="A7" s="3" t="str">
        <f>'Бастапқы деректер'!A4&amp;"–"&amp;'Бастапқы деректер'!A8</f>
        <v>A–E</v>
      </c>
      <c r="B7" s="7">
        <f>'Бастапқы деректер'!B4</f>
        <v>100</v>
      </c>
      <c r="C7" s="7">
        <f>'Бастапқы деректер'!C4</f>
        <v>100</v>
      </c>
      <c r="D7" s="7">
        <f>'Бастапқы деректер'!B8</f>
        <v>800</v>
      </c>
      <c r="E7" s="7">
        <f>'Бастапқы деректер'!C8</f>
        <v>300</v>
      </c>
      <c r="F7" s="7">
        <f>D7-B7</f>
        <v>700</v>
      </c>
      <c r="G7" s="7">
        <f>E7-C7</f>
        <v>200</v>
      </c>
      <c r="H7" s="8">
        <f>SQRT(F7^2+G7^2)</f>
        <v>728.0109889280518</v>
      </c>
      <c r="I7" s="7">
        <f>RANK(H7,$H$4:$H$18,1)</f>
        <v>11</v>
      </c>
    </row>
    <row r="8" spans="1:9" ht="21" customHeight="1">
      <c r="A8" s="3" t="str">
        <f>'Бастапқы деректер'!A4&amp;"–"&amp;'Бастапқы деректер'!A9</f>
        <v>A–F</v>
      </c>
      <c r="B8" s="7">
        <f>'Бастапқы деректер'!B4</f>
        <v>100</v>
      </c>
      <c r="C8" s="7">
        <f>'Бастапқы деректер'!C4</f>
        <v>100</v>
      </c>
      <c r="D8" s="7">
        <f>'Бастапқы деректер'!B9</f>
        <v>900</v>
      </c>
      <c r="E8" s="7">
        <f>'Бастапқы деректер'!C9</f>
        <v>800</v>
      </c>
      <c r="F8" s="7">
        <f>D8-B8</f>
        <v>800</v>
      </c>
      <c r="G8" s="7">
        <f>E8-C8</f>
        <v>700</v>
      </c>
      <c r="H8" s="8">
        <f>SQRT(F8^2+G8^2)</f>
        <v>1063.014581273465</v>
      </c>
      <c r="I8" s="7">
        <f>RANK(H8,$H$4:$H$18,1)</f>
        <v>15</v>
      </c>
    </row>
    <row r="9" spans="1:9" ht="21" customHeight="1">
      <c r="A9" s="3" t="str">
        <f>'Бастапқы деректер'!A5&amp;"–"&amp;'Бастапқы деректер'!A6</f>
        <v>B–C</v>
      </c>
      <c r="B9" s="7">
        <f>'Бастапқы деректер'!B5</f>
        <v>400</v>
      </c>
      <c r="C9" s="7">
        <f>'Бастапқы деректер'!C5</f>
        <v>100</v>
      </c>
      <c r="D9" s="7">
        <f>'Бастапқы деректер'!B6</f>
        <v>100</v>
      </c>
      <c r="E9" s="7">
        <f>'Бастапқы деректер'!C6</f>
        <v>500</v>
      </c>
      <c r="F9" s="7">
        <f>D9-B9</f>
        <v>-300</v>
      </c>
      <c r="G9" s="7">
        <f>E9-C9</f>
        <v>400</v>
      </c>
      <c r="H9" s="8">
        <f>SQRT(F9^2+G9^2)</f>
        <v>500.0</v>
      </c>
      <c r="I9" s="7">
        <f>RANK(H9,$H$4:$H$18,1)</f>
        <v>7</v>
      </c>
    </row>
    <row r="10" spans="1:9" ht="21" customHeight="1">
      <c r="A10" s="3" t="str">
        <f>'Бастапқы деректер'!A5&amp;"–"&amp;'Бастапқы деректер'!A7</f>
        <v>B–D</v>
      </c>
      <c r="B10" s="7">
        <f>'Бастапқы деректер'!B5</f>
        <v>400</v>
      </c>
      <c r="C10" s="7">
        <f>'Бастапқы деректер'!C5</f>
        <v>100</v>
      </c>
      <c r="D10" s="7">
        <f>'Бастапқы деректер'!B7</f>
        <v>500</v>
      </c>
      <c r="E10" s="7">
        <f>'Бастапқы деректер'!C7</f>
        <v>500</v>
      </c>
      <c r="F10" s="7">
        <f>D10-B10</f>
        <v>100</v>
      </c>
      <c r="G10" s="7">
        <f>E10-C10</f>
        <v>400</v>
      </c>
      <c r="H10" s="8">
        <f>SQRT(F10^2+G10^2)</f>
        <v>412.31056256176606</v>
      </c>
      <c r="I10" s="7">
        <f>RANK(H10,$H$4:$H$18,1)</f>
        <v>5</v>
      </c>
    </row>
    <row r="11" spans="1:9" ht="21" customHeight="1">
      <c r="A11" s="3" t="str">
        <f>'Бастапқы деректер'!A5&amp;"–"&amp;'Бастапқы деректер'!A8</f>
        <v>B–E</v>
      </c>
      <c r="B11" s="7">
        <f>'Бастапқы деректер'!B5</f>
        <v>400</v>
      </c>
      <c r="C11" s="7">
        <f>'Бастапқы деректер'!C5</f>
        <v>100</v>
      </c>
      <c r="D11" s="7">
        <f>'Бастапқы деректер'!B8</f>
        <v>800</v>
      </c>
      <c r="E11" s="7">
        <f>'Бастапқы деректер'!C8</f>
        <v>300</v>
      </c>
      <c r="F11" s="7">
        <f>D11-B11</f>
        <v>400</v>
      </c>
      <c r="G11" s="7">
        <f>E11-C11</f>
        <v>200</v>
      </c>
      <c r="H11" s="8">
        <f>SQRT(F11^2+G11^2)</f>
        <v>447.21359549995793</v>
      </c>
      <c r="I11" s="7">
        <f>RANK(H11,$H$4:$H$18,1)</f>
        <v>6</v>
      </c>
    </row>
    <row r="12" spans="1:9" ht="21" customHeight="1">
      <c r="A12" s="3" t="str">
        <f>'Бастапқы деректер'!A5&amp;"–"&amp;'Бастапқы деректер'!A9</f>
        <v>B–F</v>
      </c>
      <c r="B12" s="7">
        <f>'Бастапқы деректер'!B5</f>
        <v>400</v>
      </c>
      <c r="C12" s="7">
        <f>'Бастапқы деректер'!C5</f>
        <v>100</v>
      </c>
      <c r="D12" s="7">
        <f>'Бастапқы деректер'!B9</f>
        <v>900</v>
      </c>
      <c r="E12" s="7">
        <f>'Бастапқы деректер'!C9</f>
        <v>800</v>
      </c>
      <c r="F12" s="7">
        <f>D12-B12</f>
        <v>500</v>
      </c>
      <c r="G12" s="7">
        <f>E12-C12</f>
        <v>700</v>
      </c>
      <c r="H12" s="8">
        <f>SQRT(F12^2+G12^2)</f>
        <v>860.2325267042627</v>
      </c>
      <c r="I12" s="7">
        <f>RANK(H12,$H$4:$H$18,1)</f>
        <v>14</v>
      </c>
    </row>
    <row r="13" spans="1:9" ht="21" customHeight="1">
      <c r="A13" s="3" t="str">
        <f>'Бастапқы деректер'!A6&amp;"–"&amp;'Бастапқы деректер'!A7</f>
        <v>C–D</v>
      </c>
      <c r="B13" s="7">
        <f>'Бастапқы деректер'!B6</f>
        <v>100</v>
      </c>
      <c r="C13" s="7">
        <f>'Бастапқы деректер'!C6</f>
        <v>500</v>
      </c>
      <c r="D13" s="7">
        <f>'Бастапқы деректер'!B7</f>
        <v>500</v>
      </c>
      <c r="E13" s="7">
        <f>'Бастапқы деректер'!C7</f>
        <v>500</v>
      </c>
      <c r="F13" s="7">
        <f>D13-B13</f>
        <v>400</v>
      </c>
      <c r="G13" s="7">
        <f>E13-C13</f>
        <v>0</v>
      </c>
      <c r="H13" s="8">
        <f>SQRT(F13^2+G13^2)</f>
        <v>400.0</v>
      </c>
      <c r="I13" s="7">
        <f>RANK(H13,$H$4:$H$18,1)</f>
        <v>3</v>
      </c>
    </row>
    <row r="14" spans="1:9" ht="21" customHeight="1">
      <c r="A14" s="3" t="str">
        <f>'Бастапқы деректер'!A6&amp;"–"&amp;'Бастапқы деректер'!A8</f>
        <v>C–E</v>
      </c>
      <c r="B14" s="7">
        <f>'Бастапқы деректер'!B6</f>
        <v>100</v>
      </c>
      <c r="C14" s="7">
        <f>'Бастапқы деректер'!C6</f>
        <v>500</v>
      </c>
      <c r="D14" s="7">
        <f>'Бастапқы деректер'!B8</f>
        <v>800</v>
      </c>
      <c r="E14" s="7">
        <f>'Бастапқы деректер'!C8</f>
        <v>300</v>
      </c>
      <c r="F14" s="7">
        <f>D14-B14</f>
        <v>700</v>
      </c>
      <c r="G14" s="7">
        <f>E14-C14</f>
        <v>-200</v>
      </c>
      <c r="H14" s="8">
        <f>SQRT(F14^2+G14^2)</f>
        <v>728.0109889280518</v>
      </c>
      <c r="I14" s="7">
        <f>RANK(H14,$H$4:$H$18,1)</f>
        <v>11</v>
      </c>
    </row>
    <row r="15" spans="1:9" ht="21" customHeight="1">
      <c r="A15" s="3" t="str">
        <f>'Бастапқы деректер'!A6&amp;"–"&amp;'Бастапқы деректер'!A9</f>
        <v>C–F</v>
      </c>
      <c r="B15" s="7">
        <f>'Бастапқы деректер'!B6</f>
        <v>100</v>
      </c>
      <c r="C15" s="7">
        <f>'Бастапқы деректер'!C6</f>
        <v>500</v>
      </c>
      <c r="D15" s="7">
        <f>'Бастапқы деректер'!B9</f>
        <v>900</v>
      </c>
      <c r="E15" s="7">
        <f>'Бастапқы деректер'!C9</f>
        <v>800</v>
      </c>
      <c r="F15" s="7">
        <f>D15-B15</f>
        <v>800</v>
      </c>
      <c r="G15" s="7">
        <f>E15-C15</f>
        <v>300</v>
      </c>
      <c r="H15" s="8">
        <f>SQRT(F15^2+G15^2)</f>
        <v>854.4003745317531</v>
      </c>
      <c r="I15" s="7">
        <f>RANK(H15,$H$4:$H$18,1)</f>
        <v>13</v>
      </c>
    </row>
    <row r="16" spans="1:9" ht="21" customHeight="1">
      <c r="A16" s="3" t="str">
        <f>'Бастапқы деректер'!A7&amp;"–"&amp;'Бастапқы деректер'!A8</f>
        <v>D–E</v>
      </c>
      <c r="B16" s="7">
        <f>'Бастапқы деректер'!B7</f>
        <v>500</v>
      </c>
      <c r="C16" s="7">
        <f>'Бастапқы деректер'!C7</f>
        <v>500</v>
      </c>
      <c r="D16" s="7">
        <f>'Бастапқы деректер'!B8</f>
        <v>800</v>
      </c>
      <c r="E16" s="7">
        <f>'Бастапқы деректер'!C8</f>
        <v>300</v>
      </c>
      <c r="F16" s="7">
        <f>D16-B16</f>
        <v>300</v>
      </c>
      <c r="G16" s="7">
        <f>E16-C16</f>
        <v>-200</v>
      </c>
      <c r="H16" s="8">
        <f>SQRT(F16^2+G16^2)</f>
        <v>360.5551275463989</v>
      </c>
      <c r="I16" s="7">
        <f>RANK(H16,$H$4:$H$18,1)</f>
        <v>2</v>
      </c>
    </row>
    <row r="17" spans="1:9" ht="21" customHeight="1">
      <c r="A17" s="3" t="str">
        <f>'Бастапқы деректер'!A7&amp;"–"&amp;'Бастапқы деректер'!A9</f>
        <v>D–F</v>
      </c>
      <c r="B17" s="7">
        <f>'Бастапқы деректер'!B7</f>
        <v>500</v>
      </c>
      <c r="C17" s="7">
        <f>'Бастапқы деректер'!C7</f>
        <v>500</v>
      </c>
      <c r="D17" s="7">
        <f>'Бастапқы деректер'!B9</f>
        <v>900</v>
      </c>
      <c r="E17" s="7">
        <f>'Бастапқы деректер'!C9</f>
        <v>800</v>
      </c>
      <c r="F17" s="7">
        <f>D17-B17</f>
        <v>400</v>
      </c>
      <c r="G17" s="7">
        <f>E17-C17</f>
        <v>300</v>
      </c>
      <c r="H17" s="8">
        <f>SQRT(F17^2+G17^2)</f>
        <v>500.0</v>
      </c>
      <c r="I17" s="7">
        <f>RANK(H17,$H$4:$H$18,1)</f>
        <v>7</v>
      </c>
    </row>
    <row r="18" spans="1:9" ht="21" customHeight="1">
      <c r="A18" s="3" t="str">
        <f>'Бастапқы деректер'!A8&amp;"–"&amp;'Бастапқы деректер'!A9</f>
        <v>E–F</v>
      </c>
      <c r="B18" s="7">
        <f>'Бастапқы деректер'!B8</f>
        <v>800</v>
      </c>
      <c r="C18" s="7">
        <f>'Бастапқы деректер'!C8</f>
        <v>300</v>
      </c>
      <c r="D18" s="7">
        <f>'Бастапқы деректер'!B9</f>
        <v>900</v>
      </c>
      <c r="E18" s="7">
        <f>'Бастапқы деректер'!C9</f>
        <v>800</v>
      </c>
      <c r="F18" s="7">
        <f>D18-B18</f>
        <v>100</v>
      </c>
      <c r="G18" s="7">
        <f>E18-C18</f>
        <v>500</v>
      </c>
      <c r="H18" s="8">
        <f>SQRT(F18^2+G18^2)</f>
        <v>509.9019513592785</v>
      </c>
      <c r="I18" s="7">
        <f>RANK(H18,$H$4:$H$18,1)</f>
        <v>9</v>
      </c>
    </row>
    <row r="21" spans="1:9" ht="21" customHeight="1">
      <c r="A21" s="2" t="s">
        <v>65</v>
      </c>
      <c r="B21" s="2" t="s">
        <v>56</v>
      </c>
      <c r="C21" s="2" t="s">
        <v>63</v>
      </c>
    </row>
    <row r="22" spans="1:9" ht="32" customHeight="1">
      <c r="A22" s="5" t="s">
        <v>66</v>
      </c>
      <c r="B22" s="3" t="str">
        <f>INDEX($A$4:$A$18,MATCH(MIN($H$4:$H$18),$H$4:$H$18,0))</f>
        <v>A–B</v>
      </c>
      <c r="C22" s="8">
        <f>MIN($H$4:$H$18)</f>
        <v>300</v>
      </c>
    </row>
    <row r="23" spans="1:9" ht="32" customHeight="1">
      <c r="A23" s="2" t="s">
        <v>67</v>
      </c>
      <c r="B23" s="3" t="str">
        <f>INDEX($A$4:$A$18,MATCH(MAX($H$4:$H$18),$H$4:$H$18,0))</f>
        <v>A–F</v>
      </c>
      <c r="C23" s="8">
        <f>MAX($H$4:$H$18)</f>
        <v>1063.014581273465</v>
      </c>
    </row>
    <row r="25" spans="1:9" ht="21" customHeight="1">
      <c r="A25" s="4" t="s">
        <v>68</v>
      </c>
      <c r="B25" s="4"/>
      <c r="C25" s="4"/>
      <c r="D25" s="4"/>
      <c r="E25" s="4"/>
      <c r="F25" s="4"/>
      <c r="G25" s="4"/>
      <c r="H25" s="4"/>
      <c r="I25" s="4"/>
    </row>
    <row r="26" spans="1:9" ht="21" customHeight="1">
      <c r="A26" s="4"/>
      <c r="B26" s="4"/>
      <c r="C26" s="4"/>
      <c r="D26" s="4"/>
      <c r="E26" s="4"/>
      <c r="F26" s="4"/>
      <c r="G26" s="4"/>
      <c r="H26" s="4"/>
      <c r="I26" s="4"/>
    </row>
  </sheetData>
  <mergeCells count="2">
    <mergeCell ref="A1:I1"/>
    <mergeCell ref="A25:I26"/>
  </mergeCells>
  <conditionalFormatting sqref="H4:H18">
    <cfRule type="cellIs" dxfId="0" priority="1" operator="equal">
      <formula>MIN($H$4:$H$18)</formula>
    </cfRule>
    <cfRule type="cellIs" dxfId="1" priority="2" operator="equal">
      <formula>MAX($H$4:$H$18)</formula>
    </cfRule>
  </conditionalFormatting>
  <pageMargins left="0.3" right="0.3" top="0.4" bottom="0.4" header="0.3" footer="0.2"/>
  <pageSetup paperSize="9" orientation="landscape"/>
  <headerFooter>
    <oddFooter>&amp;C№7 нұсқа  • 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1" customHeight="1"/>
  <cols>
    <col min="1" max="1" width="15.7109375" customWidth="1"/>
    <col min="2" max="7" width="17.7109375" customWidth="1"/>
  </cols>
  <sheetData>
    <row r="1" spans="1:7" ht="29" customHeight="1">
      <c r="A1" s="1" t="s">
        <v>69</v>
      </c>
      <c r="B1" s="1"/>
      <c r="C1" s="1"/>
      <c r="D1" s="1"/>
      <c r="E1" s="1"/>
      <c r="F1" s="1"/>
      <c r="G1" s="1"/>
    </row>
    <row r="3" spans="1:7" ht="21" customHeight="1">
      <c r="A3" s="2" t="s">
        <v>1</v>
      </c>
      <c r="B3" s="2" t="str">
        <f>'Бастапқы деректер'!A4</f>
        <v>A</v>
      </c>
      <c r="C3" s="2" t="str">
        <f>'Бастапқы деректер'!A5</f>
        <v>B</v>
      </c>
      <c r="D3" s="2" t="str">
        <f>'Бастапқы деректер'!A6</f>
        <v>C</v>
      </c>
      <c r="E3" s="2" t="str">
        <f>'Бастапқы деректер'!A7</f>
        <v>D</v>
      </c>
      <c r="F3" s="2" t="str">
        <f>'Бастапқы деректер'!A8</f>
        <v>E</v>
      </c>
      <c r="G3" s="2" t="str">
        <f>'Бастапқы деректер'!A9</f>
        <v>F</v>
      </c>
    </row>
    <row r="4" spans="1:7" ht="21" customHeight="1">
      <c r="A4" s="2" t="str">
        <f>'Бастапқы деректер'!A4</f>
        <v>A</v>
      </c>
      <c r="B4" s="8">
        <f>SQRT(('Бастапқы деректер'!$B$4-'Бастапқы деректер'!$B$4)^2+('Бастапқы деректер'!$C$4-'Бастапқы деректер'!$C$4)^2)</f>
        <v>0.0</v>
      </c>
      <c r="C4" s="8">
        <f>SQRT(('Бастапқы деректер'!$B$4-'Бастапқы деректер'!$B$5)^2+('Бастапқы деректер'!$C$4-'Бастапқы деректер'!$C$5)^2)</f>
        <v>300.0</v>
      </c>
      <c r="D4" s="8">
        <f>SQRT(('Бастапқы деректер'!$B$4-'Бастапқы деректер'!$B$6)^2+('Бастапқы деректер'!$C$4-'Бастапқы деректер'!$C$6)^2)</f>
        <v>400.0</v>
      </c>
      <c r="E4" s="8">
        <f>SQRT(('Бастапқы деректер'!$B$4-'Бастапқы деректер'!$B$7)^2+('Бастапқы деректер'!$C$4-'Бастапқы деректер'!$C$7)^2)</f>
        <v>565.685424949238</v>
      </c>
      <c r="F4" s="8">
        <f>SQRT(('Бастапқы деректер'!$B$4-'Бастапқы деректер'!$B$8)^2+('Бастапқы деректер'!$C$4-'Бастапқы деректер'!$C$8)^2)</f>
        <v>728.0109889280518</v>
      </c>
      <c r="G4" s="8">
        <f>SQRT(('Бастапқы деректер'!$B$4-'Бастапқы деректер'!$B$9)^2+('Бастапқы деректер'!$C$4-'Бастапқы деректер'!$C$9)^2)</f>
        <v>1063.014581273465</v>
      </c>
    </row>
    <row r="5" spans="1:7" ht="21" customHeight="1">
      <c r="A5" s="2" t="str">
        <f>'Бастапқы деректер'!A5</f>
        <v>B</v>
      </c>
      <c r="B5" s="8">
        <f>SQRT(('Бастапқы деректер'!$B$5-'Бастапқы деректер'!$B$4)^2+('Бастапқы деректер'!$C$5-'Бастапқы деректер'!$C$4)^2)</f>
        <v>300.0</v>
      </c>
      <c r="C5" s="8">
        <f>SQRT(('Бастапқы деректер'!$B$5-'Бастапқы деректер'!$B$5)^2+('Бастапқы деректер'!$C$5-'Бастапқы деректер'!$C$5)^2)</f>
        <v>0.0</v>
      </c>
      <c r="D5" s="8">
        <f>SQRT(('Бастапқы деректер'!$B$5-'Бастапқы деректер'!$B$6)^2+('Бастапқы деректер'!$C$5-'Бастапқы деректер'!$C$6)^2)</f>
        <v>500.0</v>
      </c>
      <c r="E5" s="8">
        <f>SQRT(('Бастапқы деректер'!$B$5-'Бастапқы деректер'!$B$7)^2+('Бастапқы деректер'!$C$5-'Бастапқы деректер'!$C$7)^2)</f>
        <v>412.31056256176606</v>
      </c>
      <c r="F5" s="8">
        <f>SQRT(('Бастапқы деректер'!$B$5-'Бастапқы деректер'!$B$8)^2+('Бастапқы деректер'!$C$5-'Бастапқы деректер'!$C$8)^2)</f>
        <v>447.21359549995793</v>
      </c>
      <c r="G5" s="8">
        <f>SQRT(('Бастапқы деректер'!$B$5-'Бастапқы деректер'!$B$9)^2+('Бастапқы деректер'!$C$5-'Бастапқы деректер'!$C$9)^2)</f>
        <v>860.2325267042627</v>
      </c>
    </row>
    <row r="6" spans="1:7" ht="21" customHeight="1">
      <c r="A6" s="2" t="str">
        <f>'Бастапқы деректер'!A6</f>
        <v>C</v>
      </c>
      <c r="B6" s="8">
        <f>SQRT(('Бастапқы деректер'!$B$6-'Бастапқы деректер'!$B$4)^2+('Бастапқы деректер'!$C$6-'Бастапқы деректер'!$C$4)^2)</f>
        <v>400.0</v>
      </c>
      <c r="C6" s="8">
        <f>SQRT(('Бастапқы деректер'!$B$6-'Бастапқы деректер'!$B$5)^2+('Бастапқы деректер'!$C$6-'Бастапқы деректер'!$C$5)^2)</f>
        <v>500.0</v>
      </c>
      <c r="D6" s="8">
        <f>SQRT(('Бастапқы деректер'!$B$6-'Бастапқы деректер'!$B$6)^2+('Бастапқы деректер'!$C$6-'Бастапқы деректер'!$C$6)^2)</f>
        <v>0.0</v>
      </c>
      <c r="E6" s="8">
        <f>SQRT(('Бастапқы деректер'!$B$6-'Бастапқы деректер'!$B$7)^2+('Бастапқы деректер'!$C$6-'Бастапқы деректер'!$C$7)^2)</f>
        <v>400.0</v>
      </c>
      <c r="F6" s="8">
        <f>SQRT(('Бастапқы деректер'!$B$6-'Бастапқы деректер'!$B$8)^2+('Бастапқы деректер'!$C$6-'Бастапқы деректер'!$C$8)^2)</f>
        <v>728.0109889280518</v>
      </c>
      <c r="G6" s="8">
        <f>SQRT(('Бастапқы деректер'!$B$6-'Бастапқы деректер'!$B$9)^2+('Бастапқы деректер'!$C$6-'Бастапқы деректер'!$C$9)^2)</f>
        <v>854.4003745317531</v>
      </c>
    </row>
    <row r="7" spans="1:7" ht="21" customHeight="1">
      <c r="A7" s="2" t="str">
        <f>'Бастапқы деректер'!A7</f>
        <v>D</v>
      </c>
      <c r="B7" s="8">
        <f>SQRT(('Бастапқы деректер'!$B$7-'Бастапқы деректер'!$B$4)^2+('Бастапқы деректер'!$C$7-'Бастапқы деректер'!$C$4)^2)</f>
        <v>565.685424949238</v>
      </c>
      <c r="C7" s="8">
        <f>SQRT(('Бастапқы деректер'!$B$7-'Бастапқы деректер'!$B$5)^2+('Бастапқы деректер'!$C$7-'Бастапқы деректер'!$C$5)^2)</f>
        <v>412.31056256176606</v>
      </c>
      <c r="D7" s="8">
        <f>SQRT(('Бастапқы деректер'!$B$7-'Бастапқы деректер'!$B$6)^2+('Бастапқы деректер'!$C$7-'Бастапқы деректер'!$C$6)^2)</f>
        <v>400.0</v>
      </c>
      <c r="E7" s="8">
        <f>SQRT(('Бастапқы деректер'!$B$7-'Бастапқы деректер'!$B$7)^2+('Бастапқы деректер'!$C$7-'Бастапқы деректер'!$C$7)^2)</f>
        <v>0.0</v>
      </c>
      <c r="F7" s="8">
        <f>SQRT(('Бастапқы деректер'!$B$7-'Бастапқы деректер'!$B$8)^2+('Бастапқы деректер'!$C$7-'Бастапқы деректер'!$C$8)^2)</f>
        <v>360.5551275463989</v>
      </c>
      <c r="G7" s="8">
        <f>SQRT(('Бастапқы деректер'!$B$7-'Бастапқы деректер'!$B$9)^2+('Бастапқы деректер'!$C$7-'Бастапқы деректер'!$C$9)^2)</f>
        <v>500.0</v>
      </c>
    </row>
    <row r="8" spans="1:7" ht="21" customHeight="1">
      <c r="A8" s="2" t="str">
        <f>'Бастапқы деректер'!A8</f>
        <v>E</v>
      </c>
      <c r="B8" s="8">
        <f>SQRT(('Бастапқы деректер'!$B$8-'Бастапқы деректер'!$B$4)^2+('Бастапқы деректер'!$C$8-'Бастапқы деректер'!$C$4)^2)</f>
        <v>728.0109889280518</v>
      </c>
      <c r="C8" s="8">
        <f>SQRT(('Бастапқы деректер'!$B$8-'Бастапқы деректер'!$B$5)^2+('Бастапқы деректер'!$C$8-'Бастапқы деректер'!$C$5)^2)</f>
        <v>447.21359549995793</v>
      </c>
      <c r="D8" s="8">
        <f>SQRT(('Бастапқы деректер'!$B$8-'Бастапқы деректер'!$B$6)^2+('Бастапқы деректер'!$C$8-'Бастапқы деректер'!$C$6)^2)</f>
        <v>728.0109889280518</v>
      </c>
      <c r="E8" s="8">
        <f>SQRT(('Бастапқы деректер'!$B$8-'Бастапқы деректер'!$B$7)^2+('Бастапқы деректер'!$C$8-'Бастапқы деректер'!$C$7)^2)</f>
        <v>360.5551275463989</v>
      </c>
      <c r="F8" s="8">
        <f>SQRT(('Бастапқы деректер'!$B$8-'Бастапқы деректер'!$B$8)^2+('Бастапқы деректер'!$C$8-'Бастапқы деректер'!$C$8)^2)</f>
        <v>0.0</v>
      </c>
      <c r="G8" s="8">
        <f>SQRT(('Бастапқы деректер'!$B$8-'Бастапқы деректер'!$B$9)^2+('Бастапқы деректер'!$C$8-'Бастапқы деректер'!$C$9)^2)</f>
        <v>509.9019513592785</v>
      </c>
    </row>
    <row r="9" spans="1:7" ht="21" customHeight="1">
      <c r="A9" s="2" t="str">
        <f>'Бастапқы деректер'!A9</f>
        <v>F</v>
      </c>
      <c r="B9" s="8">
        <f>SQRT(('Бастапқы деректер'!$B$9-'Бастапқы деректер'!$B$4)^2+('Бастапқы деректер'!$C$9-'Бастапқы деректер'!$C$4)^2)</f>
        <v>1063.014581273465</v>
      </c>
      <c r="C9" s="8">
        <f>SQRT(('Бастапқы деректер'!$B$9-'Бастапқы деректер'!$B$5)^2+('Бастапқы деректер'!$C$9-'Бастапқы деректер'!$C$5)^2)</f>
        <v>860.2325267042627</v>
      </c>
      <c r="D9" s="8">
        <f>SQRT(('Бастапқы деректер'!$B$9-'Бастапқы деректер'!$B$6)^2+('Бастапқы деректер'!$C$9-'Бастапқы деректер'!$C$6)^2)</f>
        <v>854.4003745317531</v>
      </c>
      <c r="E9" s="8">
        <f>SQRT(('Бастапқы деректер'!$B$9-'Бастапқы деректер'!$B$7)^2+('Бастапқы деректер'!$C$9-'Бастапқы деректер'!$C$7)^2)</f>
        <v>500.0</v>
      </c>
      <c r="F9" s="8">
        <f>SQRT(('Бастапқы деректер'!$B$9-'Бастапқы деректер'!$B$8)^2+('Бастапқы деректер'!$C$9-'Бастапқы деректер'!$C$8)^2)</f>
        <v>509.9019513592785</v>
      </c>
      <c r="G9" s="8">
        <f>SQRT(('Бастапқы деректер'!$B$9-'Бастапқы деректер'!$B$9)^2+('Бастапқы деректер'!$C$9-'Бастапқы деректер'!$C$9)^2)</f>
        <v>0.0</v>
      </c>
    </row>
    <row r="12" spans="1:7" ht="21" customHeight="1">
      <c r="A12" s="5" t="s">
        <v>70</v>
      </c>
      <c r="B12" s="8">
        <f>'Қашықтықтар'!C22</f>
        <v>300</v>
      </c>
    </row>
    <row r="13" spans="1:7" ht="21" customHeight="1">
      <c r="A13" s="5" t="s">
        <v>71</v>
      </c>
      <c r="B13" s="8">
        <f>'Қашықтықтар'!C23</f>
        <v>1063.014581273465</v>
      </c>
    </row>
    <row r="15" spans="1:7" ht="21" customHeight="1">
      <c r="A15" s="4" t="s">
        <v>72</v>
      </c>
      <c r="B15" s="4"/>
      <c r="C15" s="4"/>
      <c r="D15" s="4"/>
      <c r="E15" s="4"/>
      <c r="F15" s="4"/>
      <c r="G15" s="4"/>
    </row>
    <row r="16" spans="1:7" ht="21" customHeight="1">
      <c r="A16" s="4"/>
      <c r="B16" s="4"/>
      <c r="C16" s="4"/>
      <c r="D16" s="4"/>
      <c r="E16" s="4"/>
      <c r="F16" s="4"/>
      <c r="G16" s="4"/>
    </row>
    <row r="18" spans="1:7" ht="21" customHeight="1">
      <c r="A18" s="4" t="s">
        <v>73</v>
      </c>
      <c r="B18" s="4"/>
      <c r="C18" s="4"/>
      <c r="D18" s="4"/>
      <c r="E18" s="4"/>
      <c r="F18" s="4"/>
      <c r="G18" s="4"/>
    </row>
    <row r="19" spans="1:7" ht="21" customHeight="1">
      <c r="A19" s="4"/>
      <c r="B19" s="4"/>
      <c r="C19" s="4"/>
      <c r="D19" s="4"/>
      <c r="E19" s="4"/>
      <c r="F19" s="4"/>
      <c r="G19" s="4"/>
    </row>
  </sheetData>
  <mergeCells count="3">
    <mergeCell ref="A1:G1"/>
    <mergeCell ref="A15:G16"/>
    <mergeCell ref="A18:G19"/>
  </mergeCells>
  <conditionalFormatting sqref="B4:G9">
    <cfRule type="cellIs" dxfId="2" priority="1" operator="equal">
      <formula>0</formula>
    </cfRule>
    <cfRule type="expression" dxfId="0" priority="2">
      <formula>AND(B4&gt;0,B4=$B$12)</formula>
    </cfRule>
  </conditionalFormatting>
  <pageMargins left="0.3" right="0.3" top="0.4" bottom="0.4" header="0.3" footer="0.2"/>
  <pageSetup paperSize="9" orientation="landscape"/>
  <headerFooter>
    <oddFooter>&amp;C№7 нұсқа  •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Бастапқы деректер</vt:lpstr>
      <vt:lpstr>Статистика</vt:lpstr>
      <vt:lpstr>Қашықтықтар</vt:lpstr>
      <vt:lpstr>Матрица</vt:lpstr>
      <vt:lpstr>'Бастапқы деректер'!Print_Area</vt:lpstr>
      <vt:lpstr>Матрица!Print_Area</vt:lpstr>
      <vt:lpstr>Статистика!Print_Area</vt:lpstr>
      <vt:lpstr>Қашықтықтар!Print_Area</vt:lpstr>
      <vt:lpstr>'Бастапқы деректер'!Print_Titles</vt:lpstr>
      <vt:lpstr>Матрица!Print_Titles</vt:lpstr>
      <vt:lpstr>Статистика!Print_Titles</vt:lpstr>
      <vt:lpstr>Қашықтықтар!Print_Titles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СӨЖ, 8-апта — №7 нұсқа: ЖКО статистикасы</dc:title>
  <dc:subject>Бастапқы кесте, диаграмма, статистика және Евклидтік қашықтықтар</dc:subject>
  <dc:creator/>
  <dc:description>№7 нұсқаның берілген алты қиылысы. Квартильдер: төменгі және жоғарғы жартының медианасы.</dc:description>
  <cp:lastModifiedBy/>
  <dcterms:created xsi:type="dcterms:W3CDTF">2026-10-22T13:27:19Z</dcterms:created>
  <dcterms:modified xsi:type="dcterms:W3CDTF">2026-10-22T13:27:19Z</dcterms:modified>
</cp:coreProperties>
</file>